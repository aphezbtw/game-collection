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Дыня\Desktop\"/>
    </mc:Choice>
  </mc:AlternateContent>
  <xr:revisionPtr revIDLastSave="0" documentId="13_ncr:1_{302E6971-273E-4251-A927-CD36EC62C813}" xr6:coauthVersionLast="47" xr6:coauthVersionMax="47" xr10:uidLastSave="{00000000-0000-0000-0000-000000000000}"/>
  <bookViews>
    <workbookView xWindow="-120" yWindow="-120" windowWidth="29040" windowHeight="15720" firstSheet="2" activeTab="5" xr2:uid="{00000000-000D-0000-FFFF-FFFF00000000}"/>
  </bookViews>
  <sheets>
    <sheet name="Задание 1" sheetId="1" r:id="rId1"/>
    <sheet name="Задание 2" sheetId="2" r:id="rId2"/>
    <sheet name="Задание 3" sheetId="3" r:id="rId3"/>
    <sheet name="Задание 4" sheetId="4" r:id="rId4"/>
    <sheet name="Задание 5" sheetId="5" r:id="rId5"/>
    <sheet name="Задание 6" sheetId="6" r:id="rId6"/>
  </sheets>
  <definedNames>
    <definedName name="solver_adj" localSheetId="0" hidden="1">'Задание 1'!$B$4,'Задание 1'!$D$4</definedName>
    <definedName name="solver_adj" localSheetId="2" hidden="1">'Задание 3'!$B$4,'Задание 3'!$C$4,'Задание 3'!$D$4</definedName>
    <definedName name="solver_adj" localSheetId="3" hidden="1">'Задание 4'!$B$8:$C$8</definedName>
    <definedName name="solver_adj" localSheetId="4" hidden="1">'Задание 5'!$B$12:$F$15</definedName>
    <definedName name="solver_adj" localSheetId="5" hidden="1">'Задание 6'!$E$5:$F$5</definedName>
    <definedName name="solver_cvg" localSheetId="0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drv" localSheetId="0" hidden="1">1</definedName>
    <definedName name="solver_drv" localSheetId="2" hidden="1">1</definedName>
    <definedName name="solver_drv" localSheetId="3" hidden="1">2</definedName>
    <definedName name="solver_drv" localSheetId="4" hidden="1">1</definedName>
    <definedName name="solver_drv" localSheetId="5" hidden="1">1</definedName>
    <definedName name="solver_eng" localSheetId="0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st" localSheetId="0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itr" localSheetId="0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lhs1" localSheetId="0" hidden="1">'Задание 1'!$F$10</definedName>
    <definedName name="solver_lhs1" localSheetId="2" hidden="1">'Задание 3'!$F$11</definedName>
    <definedName name="solver_lhs1" localSheetId="3" hidden="1">'Задание 4'!$E$8</definedName>
    <definedName name="solver_lhs1" localSheetId="4" hidden="1">'Задание 5'!$B$12:$F$15</definedName>
    <definedName name="solver_lhs1" localSheetId="5" hidden="1">'Задание 6'!$E$10</definedName>
    <definedName name="solver_lhs10" localSheetId="4" hidden="1">'Задание 5'!$G$15</definedName>
    <definedName name="solver_lhs2" localSheetId="0" hidden="1">'Задание 1'!$F$11</definedName>
    <definedName name="solver_lhs2" localSheetId="2" hidden="1">'Задание 3'!$F$12</definedName>
    <definedName name="solver_lhs2" localSheetId="4" hidden="1">'Задание 5'!$B$16</definedName>
    <definedName name="solver_lhs2" localSheetId="5" hidden="1">'Задание 6'!$E$11</definedName>
    <definedName name="solver_lhs3" localSheetId="0" hidden="1">'Задание 1'!$F$12</definedName>
    <definedName name="solver_lhs3" localSheetId="4" hidden="1">'Задание 5'!$C$16</definedName>
    <definedName name="solver_lhs3" localSheetId="5" hidden="1">'Задание 6'!$E$5:$F$5</definedName>
    <definedName name="solver_lhs4" localSheetId="4" hidden="1">'Задание 5'!$D$16</definedName>
    <definedName name="solver_lhs4" localSheetId="5" hidden="1">'Задание 6'!$E$9</definedName>
    <definedName name="solver_lhs5" localSheetId="4" hidden="1">'Задание 5'!$E$16</definedName>
    <definedName name="solver_lhs6" localSheetId="4" hidden="1">'Задание 5'!$F$16</definedName>
    <definedName name="solver_lhs7" localSheetId="4" hidden="1">'Задание 5'!$G$12</definedName>
    <definedName name="solver_lhs8" localSheetId="4" hidden="1">'Задание 5'!$G$13</definedName>
    <definedName name="solver_lhs9" localSheetId="4" hidden="1">'Задание 5'!$G$14</definedName>
    <definedName name="solver_mip" localSheetId="0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ni" localSheetId="0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rt" localSheetId="0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sl" localSheetId="0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neg" localSheetId="0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od" localSheetId="0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um" localSheetId="0" hidden="1">3</definedName>
    <definedName name="solver_num" localSheetId="2" hidden="1">2</definedName>
    <definedName name="solver_num" localSheetId="3" hidden="1">1</definedName>
    <definedName name="solver_num" localSheetId="4" hidden="1">10</definedName>
    <definedName name="solver_num" localSheetId="5" hidden="1">4</definedName>
    <definedName name="solver_nwt" localSheetId="0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opt" localSheetId="0" hidden="1">'Задание 1'!$E$4</definedName>
    <definedName name="solver_opt" localSheetId="2" hidden="1">'Задание 3'!$E$4</definedName>
    <definedName name="solver_opt" localSheetId="3" hidden="1">'Задание 4'!$D$8</definedName>
    <definedName name="solver_opt" localSheetId="4" hidden="1">'Задание 5'!$B$17</definedName>
    <definedName name="solver_opt" localSheetId="5" hidden="1">'Задание 6'!$G$5</definedName>
    <definedName name="solver_pre" localSheetId="0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rbv" localSheetId="0" hidden="1">1</definedName>
    <definedName name="solver_rbv" localSheetId="2" hidden="1">1</definedName>
    <definedName name="solver_rbv" localSheetId="3" hidden="1">2</definedName>
    <definedName name="solver_rbv" localSheetId="4" hidden="1">1</definedName>
    <definedName name="solver_rbv" localSheetId="5" hidden="1">1</definedName>
    <definedName name="solver_rel1" localSheetId="0" hidden="1">1</definedName>
    <definedName name="solver_rel1" localSheetId="2" hidden="1">2</definedName>
    <definedName name="solver_rel1" localSheetId="3" hidden="1">2</definedName>
    <definedName name="solver_rel1" localSheetId="4" hidden="1">3</definedName>
    <definedName name="solver_rel1" localSheetId="5" hidden="1">1</definedName>
    <definedName name="solver_rel10" localSheetId="4" hidden="1">2</definedName>
    <definedName name="solver_rel2" localSheetId="0" hidden="1">1</definedName>
    <definedName name="solver_rel2" localSheetId="2" hidden="1">2</definedName>
    <definedName name="solver_rel2" localSheetId="4" hidden="1">2</definedName>
    <definedName name="solver_rel2" localSheetId="5" hidden="1">3</definedName>
    <definedName name="solver_rel3" localSheetId="0" hidden="1">1</definedName>
    <definedName name="solver_rel3" localSheetId="4" hidden="1">2</definedName>
    <definedName name="solver_rel3" localSheetId="5" hidden="1">3</definedName>
    <definedName name="solver_rel4" localSheetId="4" hidden="1">2</definedName>
    <definedName name="solver_rel4" localSheetId="5" hidden="1">1</definedName>
    <definedName name="solver_rel5" localSheetId="4" hidden="1">2</definedName>
    <definedName name="solver_rel6" localSheetId="4" hidden="1">2</definedName>
    <definedName name="solver_rel7" localSheetId="4" hidden="1">2</definedName>
    <definedName name="solver_rel8" localSheetId="4" hidden="1">2</definedName>
    <definedName name="solver_rel9" localSheetId="4" hidden="1">2</definedName>
    <definedName name="solver_rhs1" localSheetId="0" hidden="1">'Задание 1'!$E$10</definedName>
    <definedName name="solver_rhs1" localSheetId="2" hidden="1">'Задание 3'!$E$11</definedName>
    <definedName name="solver_rhs1" localSheetId="3" hidden="1">0</definedName>
    <definedName name="solver_rhs1" localSheetId="4" hidden="1">0</definedName>
    <definedName name="solver_rhs1" localSheetId="5" hidden="1">'Задание 6'!$G$10</definedName>
    <definedName name="solver_rhs10" localSheetId="4" hidden="1">'Задание 5'!$H$7</definedName>
    <definedName name="solver_rhs2" localSheetId="0" hidden="1">'Задание 1'!$E$11</definedName>
    <definedName name="solver_rhs2" localSheetId="2" hidden="1">'Задание 3'!$E$12</definedName>
    <definedName name="solver_rhs2" localSheetId="4" hidden="1">'Задание 5'!$B$8</definedName>
    <definedName name="solver_rhs2" localSheetId="5" hidden="1">'Задание 6'!$G$11</definedName>
    <definedName name="solver_rhs3" localSheetId="0" hidden="1">'Задание 1'!$E$12</definedName>
    <definedName name="solver_rhs3" localSheetId="4" hidden="1">'Задание 5'!$C$8</definedName>
    <definedName name="solver_rhs3" localSheetId="5" hidden="1">0</definedName>
    <definedName name="solver_rhs4" localSheetId="4" hidden="1">'Задание 5'!$D$8</definedName>
    <definedName name="solver_rhs4" localSheetId="5" hidden="1">'Задание 6'!$G$9</definedName>
    <definedName name="solver_rhs5" localSheetId="4" hidden="1">'Задание 5'!$E$8</definedName>
    <definedName name="solver_rhs6" localSheetId="4" hidden="1">'Задание 5'!$F$8</definedName>
    <definedName name="solver_rhs7" localSheetId="4" hidden="1">'Задание 5'!$H$4</definedName>
    <definedName name="solver_rhs8" localSheetId="4" hidden="1">'Задание 5'!$H$5</definedName>
    <definedName name="solver_rhs9" localSheetId="4" hidden="1">'Задание 5'!$H$6</definedName>
    <definedName name="solver_rlx" localSheetId="0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sd" localSheetId="0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scl" localSheetId="0" hidden="1">1</definedName>
    <definedName name="solver_scl" localSheetId="2" hidden="1">1</definedName>
    <definedName name="solver_scl" localSheetId="3" hidden="1">2</definedName>
    <definedName name="solver_scl" localSheetId="4" hidden="1">1</definedName>
    <definedName name="solver_scl" localSheetId="5" hidden="1">1</definedName>
    <definedName name="solver_sho" localSheetId="0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sz" localSheetId="0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tim" localSheetId="0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ol" localSheetId="0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yp" localSheetId="0" hidden="1">1</definedName>
    <definedName name="solver_typ" localSheetId="2" hidden="1">3</definedName>
    <definedName name="solver_typ" localSheetId="3" hidden="1">3</definedName>
    <definedName name="solver_typ" localSheetId="4" hidden="1">2</definedName>
    <definedName name="solver_typ" localSheetId="5" hidden="1">2</definedName>
    <definedName name="solver_val" localSheetId="0" hidden="1">0</definedName>
    <definedName name="solver_val" localSheetId="2" hidden="1">4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er" localSheetId="0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6" l="1"/>
  <c r="D5" i="6"/>
  <c r="D4" i="6"/>
  <c r="G4" i="6"/>
  <c r="G5" i="6"/>
  <c r="E11" i="6"/>
  <c r="E10" i="6"/>
  <c r="E9" i="6"/>
  <c r="B11" i="6"/>
  <c r="B10" i="6"/>
  <c r="E9" i="4"/>
  <c r="D9" i="4"/>
  <c r="E8" i="4"/>
  <c r="D8" i="4"/>
  <c r="G12" i="5"/>
  <c r="F11" i="2"/>
  <c r="F10" i="2"/>
  <c r="E4" i="2"/>
  <c r="F10" i="1"/>
  <c r="E4" i="1"/>
  <c r="B16" i="5"/>
  <c r="E4" i="3"/>
  <c r="F12" i="3"/>
  <c r="F11" i="3"/>
  <c r="F13" i="2"/>
  <c r="F12" i="2"/>
  <c r="F12" i="1"/>
  <c r="F11" i="1"/>
  <c r="E13" i="6"/>
  <c r="B13" i="6"/>
  <c r="E12" i="6"/>
  <c r="B12" i="6"/>
  <c r="B17" i="5"/>
  <c r="F16" i="5"/>
  <c r="E16" i="5"/>
  <c r="D16" i="5"/>
  <c r="C16" i="5"/>
  <c r="G15" i="5"/>
  <c r="G14" i="5"/>
  <c r="G13" i="5"/>
</calcChain>
</file>

<file path=xl/sharedStrings.xml><?xml version="1.0" encoding="utf-8"?>
<sst xmlns="http://schemas.openxmlformats.org/spreadsheetml/2006/main" count="170" uniqueCount="108">
  <si>
    <r>
      <t>x</t>
    </r>
    <r>
      <rPr>
        <sz val="9"/>
        <color theme="1"/>
        <rFont val="Times New Roman"/>
        <family val="1"/>
        <charset val="204"/>
      </rPr>
      <t>1</t>
    </r>
  </si>
  <si>
    <r>
      <t>x</t>
    </r>
    <r>
      <rPr>
        <sz val="9"/>
        <color theme="1"/>
        <rFont val="Times New Roman"/>
        <family val="1"/>
        <charset val="204"/>
      </rPr>
      <t>2</t>
    </r>
  </si>
  <si>
    <r>
      <t>x</t>
    </r>
    <r>
      <rPr>
        <sz val="9"/>
        <color theme="1"/>
        <rFont val="Times New Roman"/>
        <family val="1"/>
        <charset val="204"/>
      </rPr>
      <t>3</t>
    </r>
  </si>
  <si>
    <t>Z</t>
  </si>
  <si>
    <t>Вид материала</t>
  </si>
  <si>
    <t>Норма расхода материала
на одно изделие, кг</t>
  </si>
  <si>
    <t>Запас
материала, кг</t>
  </si>
  <si>
    <t>P1</t>
  </si>
  <si>
    <t>P3</t>
  </si>
  <si>
    <t>S1</t>
  </si>
  <si>
    <t>S2</t>
  </si>
  <si>
    <t>S3</t>
  </si>
  <si>
    <t>Цена одного
изделия (у. е.)</t>
  </si>
  <si>
    <t>max</t>
  </si>
  <si>
    <t>a11</t>
  </si>
  <si>
    <t>a12</t>
  </si>
  <si>
    <t>a13</t>
  </si>
  <si>
    <t>b1</t>
  </si>
  <si>
    <t>a21</t>
  </si>
  <si>
    <t>a22</t>
  </si>
  <si>
    <t>a23</t>
  </si>
  <si>
    <t>b2</t>
  </si>
  <si>
    <t>a31</t>
  </si>
  <si>
    <t>a32</t>
  </si>
  <si>
    <t>a33</t>
  </si>
  <si>
    <t>b3</t>
  </si>
  <si>
    <t>c1</t>
  </si>
  <si>
    <t>c2</t>
  </si>
  <si>
    <t>c3</t>
  </si>
  <si>
    <t>Вывод:</t>
  </si>
  <si>
    <t>Питательные
вещества</t>
  </si>
  <si>
    <t>Виды сырья</t>
  </si>
  <si>
    <t xml:space="preserve">Минимальное содержание
питательных веществ
в готовом продукте </t>
  </si>
  <si>
    <r>
      <t>M</t>
    </r>
    <r>
      <rPr>
        <sz val="9"/>
        <color theme="1"/>
        <rFont val="Times New Roman"/>
        <family val="1"/>
        <charset val="204"/>
      </rPr>
      <t>1</t>
    </r>
  </si>
  <si>
    <r>
      <t>M</t>
    </r>
    <r>
      <rPr>
        <sz val="9"/>
        <color theme="1"/>
        <rFont val="Times New Roman"/>
        <family val="1"/>
        <charset val="204"/>
      </rPr>
      <t>3</t>
    </r>
  </si>
  <si>
    <r>
      <t>П</t>
    </r>
    <r>
      <rPr>
        <sz val="9"/>
        <color theme="1"/>
        <rFont val="Times New Roman"/>
        <family val="1"/>
        <charset val="204"/>
      </rPr>
      <t>1</t>
    </r>
  </si>
  <si>
    <r>
      <t>П</t>
    </r>
    <r>
      <rPr>
        <sz val="9"/>
        <color theme="1"/>
        <rFont val="Times New Roman"/>
        <family val="1"/>
        <charset val="204"/>
      </rPr>
      <t>2</t>
    </r>
  </si>
  <si>
    <r>
      <t>П</t>
    </r>
    <r>
      <rPr>
        <sz val="9"/>
        <color theme="1"/>
        <rFont val="Times New Roman"/>
        <family val="1"/>
        <charset val="204"/>
      </rPr>
      <t>3</t>
    </r>
  </si>
  <si>
    <r>
      <t>П</t>
    </r>
    <r>
      <rPr>
        <sz val="9"/>
        <color theme="1"/>
        <rFont val="Times New Roman"/>
        <family val="1"/>
        <charset val="204"/>
      </rPr>
      <t>4</t>
    </r>
  </si>
  <si>
    <t xml:space="preserve">Цена за единицу
сырья (у.е.) </t>
  </si>
  <si>
    <t>min</t>
  </si>
  <si>
    <r>
      <t>a</t>
    </r>
    <r>
      <rPr>
        <sz val="9"/>
        <color theme="1"/>
        <rFont val="Times New Roman"/>
        <family val="1"/>
        <charset val="204"/>
      </rPr>
      <t>11</t>
    </r>
  </si>
  <si>
    <r>
      <t>a</t>
    </r>
    <r>
      <rPr>
        <sz val="9"/>
        <color theme="1"/>
        <rFont val="Times New Roman"/>
        <family val="1"/>
        <charset val="204"/>
      </rPr>
      <t>12</t>
    </r>
  </si>
  <si>
    <r>
      <t>a</t>
    </r>
    <r>
      <rPr>
        <sz val="9"/>
        <color theme="1"/>
        <rFont val="Times New Roman"/>
        <family val="1"/>
        <charset val="204"/>
      </rPr>
      <t>13</t>
    </r>
  </si>
  <si>
    <r>
      <t>b</t>
    </r>
    <r>
      <rPr>
        <sz val="9"/>
        <color theme="1"/>
        <rFont val="Times New Roman"/>
        <family val="1"/>
        <charset val="204"/>
      </rPr>
      <t>1</t>
    </r>
  </si>
  <si>
    <r>
      <t>a</t>
    </r>
    <r>
      <rPr>
        <sz val="9"/>
        <color theme="1"/>
        <rFont val="Times New Roman"/>
        <family val="1"/>
        <charset val="204"/>
      </rPr>
      <t>21</t>
    </r>
  </si>
  <si>
    <r>
      <t>a</t>
    </r>
    <r>
      <rPr>
        <sz val="9"/>
        <color theme="1"/>
        <rFont val="Times New Roman"/>
        <family val="1"/>
        <charset val="204"/>
      </rPr>
      <t>22</t>
    </r>
  </si>
  <si>
    <r>
      <t>a</t>
    </r>
    <r>
      <rPr>
        <sz val="9"/>
        <color theme="1"/>
        <rFont val="Times New Roman"/>
        <family val="1"/>
        <charset val="204"/>
      </rPr>
      <t>23</t>
    </r>
  </si>
  <si>
    <r>
      <t>b</t>
    </r>
    <r>
      <rPr>
        <sz val="9"/>
        <color theme="1"/>
        <rFont val="Times New Roman"/>
        <family val="1"/>
        <charset val="204"/>
      </rPr>
      <t>2</t>
    </r>
  </si>
  <si>
    <r>
      <t>a</t>
    </r>
    <r>
      <rPr>
        <sz val="9"/>
        <color theme="1"/>
        <rFont val="Times New Roman"/>
        <family val="1"/>
        <charset val="204"/>
      </rPr>
      <t>31</t>
    </r>
  </si>
  <si>
    <r>
      <t>a</t>
    </r>
    <r>
      <rPr>
        <sz val="9"/>
        <color theme="1"/>
        <rFont val="Times New Roman"/>
        <family val="1"/>
        <charset val="204"/>
      </rPr>
      <t>32</t>
    </r>
  </si>
  <si>
    <r>
      <t>a</t>
    </r>
    <r>
      <rPr>
        <sz val="9"/>
        <color theme="1"/>
        <rFont val="Times New Roman"/>
        <family val="1"/>
        <charset val="204"/>
      </rPr>
      <t>33</t>
    </r>
  </si>
  <si>
    <r>
      <t>b</t>
    </r>
    <r>
      <rPr>
        <sz val="9"/>
        <color theme="1"/>
        <rFont val="Times New Roman"/>
        <family val="1"/>
        <charset val="204"/>
      </rPr>
      <t>3</t>
    </r>
  </si>
  <si>
    <r>
      <t>a</t>
    </r>
    <r>
      <rPr>
        <sz val="9"/>
        <color theme="1"/>
        <rFont val="Times New Roman"/>
        <family val="1"/>
        <charset val="204"/>
      </rPr>
      <t>41</t>
    </r>
  </si>
  <si>
    <r>
      <t>a</t>
    </r>
    <r>
      <rPr>
        <sz val="9"/>
        <color theme="1"/>
        <rFont val="Times New Roman"/>
        <family val="1"/>
        <charset val="204"/>
      </rPr>
      <t>42</t>
    </r>
  </si>
  <si>
    <r>
      <t>a</t>
    </r>
    <r>
      <rPr>
        <sz val="9"/>
        <color theme="1"/>
        <rFont val="Times New Roman"/>
        <family val="1"/>
        <charset val="204"/>
      </rPr>
      <t>43</t>
    </r>
  </si>
  <si>
    <r>
      <t>b</t>
    </r>
    <r>
      <rPr>
        <sz val="9"/>
        <color theme="1"/>
        <rFont val="Times New Roman"/>
        <family val="1"/>
        <charset val="204"/>
      </rPr>
      <t>4</t>
    </r>
  </si>
  <si>
    <r>
      <t>c</t>
    </r>
    <r>
      <rPr>
        <sz val="9"/>
        <color theme="1"/>
        <rFont val="Times New Roman"/>
        <family val="1"/>
        <charset val="204"/>
      </rPr>
      <t>1</t>
    </r>
  </si>
  <si>
    <r>
      <t>c</t>
    </r>
    <r>
      <rPr>
        <sz val="9"/>
        <color theme="1"/>
        <rFont val="Times New Roman"/>
        <family val="1"/>
        <charset val="204"/>
      </rPr>
      <t>2</t>
    </r>
  </si>
  <si>
    <r>
      <t>c</t>
    </r>
    <r>
      <rPr>
        <sz val="9"/>
        <color theme="1"/>
        <rFont val="Times New Roman"/>
        <family val="1"/>
        <charset val="204"/>
      </rPr>
      <t>3</t>
    </r>
  </si>
  <si>
    <t>f</t>
  </si>
  <si>
    <r>
      <t>a</t>
    </r>
    <r>
      <rPr>
        <sz val="9"/>
        <color theme="1"/>
        <rFont val="Times New Roman"/>
        <family val="1"/>
        <charset val="204"/>
      </rPr>
      <t>1</t>
    </r>
  </si>
  <si>
    <r>
      <t>a</t>
    </r>
    <r>
      <rPr>
        <sz val="9"/>
        <color theme="1"/>
        <rFont val="Times New Roman"/>
        <family val="1"/>
        <charset val="204"/>
      </rPr>
      <t>2</t>
    </r>
  </si>
  <si>
    <r>
      <t>a</t>
    </r>
    <r>
      <rPr>
        <sz val="9"/>
        <color theme="1"/>
        <rFont val="Times New Roman"/>
        <family val="1"/>
        <charset val="204"/>
      </rPr>
      <t>3</t>
    </r>
  </si>
  <si>
    <t>b</t>
  </si>
  <si>
    <t>a</t>
  </si>
  <si>
    <t>c</t>
  </si>
  <si>
    <t>d</t>
  </si>
  <si>
    <t>f(x, y)</t>
  </si>
  <si>
    <t>φ(x, y)</t>
  </si>
  <si>
    <t>e</t>
  </si>
  <si>
    <t>g</t>
  </si>
  <si>
    <t>x</t>
  </si>
  <si>
    <t>y</t>
  </si>
  <si>
    <t>x1, y1</t>
  </si>
  <si>
    <t>x2, y2</t>
  </si>
  <si>
    <r>
      <t>B</t>
    </r>
    <r>
      <rPr>
        <sz val="9"/>
        <color theme="1"/>
        <rFont val="Times New Roman"/>
        <family val="1"/>
        <charset val="204"/>
      </rPr>
      <t>1</t>
    </r>
  </si>
  <si>
    <r>
      <t>B</t>
    </r>
    <r>
      <rPr>
        <sz val="9"/>
        <color theme="1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</si>
  <si>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B</t>
    </r>
    <r>
      <rPr>
        <sz val="9"/>
        <color theme="1"/>
        <rFont val="Times New Roman"/>
        <family val="1"/>
        <charset val="204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</si>
  <si>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t>B</t>
    </r>
    <r>
      <rPr>
        <sz val="9"/>
        <color theme="1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</si>
  <si>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r>
      <t>B</t>
    </r>
    <r>
      <rPr>
        <sz val="9"/>
        <color theme="1"/>
        <rFont val="Times New Roman"/>
        <family val="1"/>
        <charset val="204"/>
      </rPr>
      <t>5</t>
    </r>
    <r>
      <rPr>
        <sz val="11"/>
        <color theme="1"/>
        <rFont val="Calibri"/>
        <family val="2"/>
        <charset val="204"/>
        <scheme val="minor"/>
      </rPr>
      <t/>
    </r>
  </si>
  <si>
    <t>Вывоз</t>
  </si>
  <si>
    <t>Запас</t>
  </si>
  <si>
    <r>
      <t>A</t>
    </r>
    <r>
      <rPr>
        <sz val="9"/>
        <color theme="1"/>
        <rFont val="Times New Roman"/>
        <family val="1"/>
        <charset val="204"/>
      </rPr>
      <t>1</t>
    </r>
  </si>
  <si>
    <r>
      <t>A</t>
    </r>
    <r>
      <rPr>
        <sz val="9"/>
        <color theme="1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</si>
  <si>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A</t>
    </r>
    <r>
      <rPr>
        <sz val="9"/>
        <color theme="1"/>
        <rFont val="Times New Roman"/>
        <family val="1"/>
        <charset val="204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</si>
  <si>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t>A</t>
    </r>
    <r>
      <rPr>
        <sz val="9"/>
        <color theme="1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</si>
  <si>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t>Потребности</t>
  </si>
  <si>
    <t>Ввоз</t>
  </si>
  <si>
    <t>L</t>
  </si>
  <si>
    <t>Переменные</t>
  </si>
  <si>
    <t>Максимум</t>
  </si>
  <si>
    <t>Минимум</t>
  </si>
  <si>
    <t>F</t>
  </si>
  <si>
    <t>Начальные</t>
  </si>
  <si>
    <t>Оптимальные</t>
  </si>
  <si>
    <t>Ограничения</t>
  </si>
  <si>
    <t>&lt;=</t>
  </si>
  <si>
    <r>
      <t>x</t>
    </r>
    <r>
      <rPr>
        <sz val="9"/>
        <color theme="1"/>
        <rFont val="Times New Roman"/>
        <family val="1"/>
        <charset val="204"/>
      </rPr>
      <t xml:space="preserve">1 </t>
    </r>
    <r>
      <rPr>
        <sz val="14"/>
        <color theme="1"/>
        <rFont val="Times New Roman"/>
        <family val="1"/>
        <charset val="204"/>
      </rPr>
      <t>&gt;= 0</t>
    </r>
  </si>
  <si>
    <t>&gt;=</t>
  </si>
  <si>
    <r>
      <t>x</t>
    </r>
    <r>
      <rPr>
        <sz val="9"/>
        <color theme="1"/>
        <rFont val="Times New Roman"/>
        <family val="1"/>
        <charset val="204"/>
      </rPr>
      <t xml:space="preserve">2 </t>
    </r>
    <r>
      <rPr>
        <sz val="14"/>
        <color theme="1"/>
        <rFont val="Times New Roman"/>
        <family val="1"/>
        <charset val="204"/>
      </rPr>
      <t>&gt;= 0</t>
    </r>
  </si>
  <si>
    <t>1. Оптимальный план выпуска продукции: изделие P₁ производить нецелесообразно (x₁ = 0), изделие P₂ выпускать в количестве 6 единиц, изделие P₃ — 22 единицы.
2. Максимальная стоимость продукции составляет 140 у.е.
3. Критическими (дефицитными) ресурсами являются сырьё S₂ и S₃, которые используются полностью.
4. Сырьё S₁ имеет остаток 56 единиц, что указывает на наличие резерва по данному ресурсу.</t>
  </si>
  <si>
    <t>1. Оптимальный состав смеси: сырьё M₁ — 26 ед., сырьё M₂ — 24 ед., сырьё M₃ — 6 ед.
2. Минимальная стоимость смеси составляет 556 у.е.
3. Ограничения по веществам П₁ и П₂ выполняются как равенства, то есть являются активными.
4. По веществам П₃ и П₄ имеется небольшой запас, следовательно, их содержание превышает минимально допустимый уровень.
5. Полученное решение является оптимальным и обеспечивает минимальную стоимость смеси.</t>
  </si>
  <si>
    <t>x^(2)-2x-y-3=0</t>
  </si>
  <si>
    <t>x-y-1=0</t>
  </si>
  <si>
    <r>
      <t>x1+2*x2</t>
    </r>
    <r>
      <rPr>
        <sz val="9"/>
        <color theme="1"/>
        <rFont val="Times New Roman"/>
        <family val="1"/>
        <charset val="204"/>
      </rPr>
      <t xml:space="preserve"> </t>
    </r>
    <r>
      <rPr>
        <sz val="14"/>
        <color theme="1"/>
        <rFont val="Times New Roman"/>
        <family val="1"/>
        <charset val="204"/>
      </rPr>
      <t>&lt;= 8</t>
    </r>
  </si>
  <si>
    <t>3*x1+x2 &lt;= 15</t>
  </si>
  <si>
    <t>x1+x2 &gt;=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</si>
</sst>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opLeftCell="A13" workbookViewId="0">
      <selection activeCell="E4" sqref="E4"/>
    </sheetView>
  </sheetViews>
  <sheetFormatPr defaultRowHeight="15" x14ac:dyDescent="0.25"/>
  <cols>
    <col min="1" max="1" width="17.85546875" customWidth="1"/>
    <col min="2" max="2" width="9.42578125" customWidth="1"/>
    <col min="5" max="5" width="14.5703125" customWidth="1"/>
  </cols>
  <sheetData>
    <row r="1" spans="1:8" ht="18.75" x14ac:dyDescent="0.25">
      <c r="B1" s="2"/>
      <c r="C1" s="2"/>
      <c r="D1" s="2"/>
      <c r="E1" s="2"/>
      <c r="H1" s="2"/>
    </row>
    <row r="2" spans="1:8" ht="19.5" thickBot="1" x14ac:dyDescent="0.3">
      <c r="E2" s="2"/>
    </row>
    <row r="3" spans="1:8" ht="18.75" x14ac:dyDescent="0.25">
      <c r="B3" s="4" t="s">
        <v>0</v>
      </c>
      <c r="C3" s="11" t="s">
        <v>1</v>
      </c>
      <c r="D3" s="11" t="s">
        <v>2</v>
      </c>
      <c r="E3" s="12" t="s">
        <v>3</v>
      </c>
    </row>
    <row r="4" spans="1:8" ht="19.5" thickBot="1" x14ac:dyDescent="0.3">
      <c r="B4" s="13">
        <v>0</v>
      </c>
      <c r="C4" s="8">
        <v>6</v>
      </c>
      <c r="D4" s="8">
        <v>22</v>
      </c>
      <c r="E4" s="9">
        <f>SUMPRODUCT(B13:D13,B4:D4)</f>
        <v>140</v>
      </c>
    </row>
    <row r="6" spans="1:8" ht="18.75" x14ac:dyDescent="0.25">
      <c r="A6" s="2"/>
    </row>
    <row r="7" spans="1:8" ht="15.75" thickBot="1" x14ac:dyDescent="0.3"/>
    <row r="8" spans="1:8" ht="18.75" x14ac:dyDescent="0.25">
      <c r="A8" s="37" t="s">
        <v>4</v>
      </c>
      <c r="B8" s="39" t="s">
        <v>5</v>
      </c>
      <c r="C8" s="39"/>
      <c r="D8" s="39"/>
      <c r="E8" s="40" t="s">
        <v>6</v>
      </c>
    </row>
    <row r="9" spans="1:8" ht="18.75" x14ac:dyDescent="0.25">
      <c r="A9" s="38"/>
      <c r="B9" s="3" t="s">
        <v>7</v>
      </c>
      <c r="C9" s="3" t="s">
        <v>7</v>
      </c>
      <c r="D9" s="3" t="s">
        <v>8</v>
      </c>
      <c r="E9" s="41"/>
    </row>
    <row r="10" spans="1:8" ht="18.75" x14ac:dyDescent="0.25">
      <c r="A10" s="5" t="s">
        <v>9</v>
      </c>
      <c r="B10" s="3">
        <v>3</v>
      </c>
      <c r="C10" s="3">
        <v>6</v>
      </c>
      <c r="D10" s="3">
        <v>4</v>
      </c>
      <c r="E10" s="6">
        <v>180</v>
      </c>
      <c r="F10" s="1">
        <f>SUMPRODUCT(B10:D10,$B$4:$D$4)</f>
        <v>124</v>
      </c>
    </row>
    <row r="11" spans="1:8" ht="18.75" x14ac:dyDescent="0.25">
      <c r="A11" s="5" t="s">
        <v>10</v>
      </c>
      <c r="B11" s="3">
        <v>2</v>
      </c>
      <c r="C11" s="3">
        <v>1</v>
      </c>
      <c r="D11" s="3">
        <v>2</v>
      </c>
      <c r="E11" s="6">
        <v>50</v>
      </c>
      <c r="F11" s="1">
        <f>SUMPRODUCT(B11:D11,$B$4:$D$4)</f>
        <v>50</v>
      </c>
    </row>
    <row r="12" spans="1:8" ht="18.75" x14ac:dyDescent="0.25">
      <c r="A12" s="5" t="s">
        <v>11</v>
      </c>
      <c r="B12" s="3">
        <v>2</v>
      </c>
      <c r="C12" s="3">
        <v>3</v>
      </c>
      <c r="D12" s="3">
        <v>1</v>
      </c>
      <c r="E12" s="6">
        <v>40</v>
      </c>
      <c r="F12" s="1">
        <f>SUMPRODUCT(B12:D12,$B$4:$D$4)</f>
        <v>40</v>
      </c>
    </row>
    <row r="13" spans="1:8" ht="38.25" thickBot="1" x14ac:dyDescent="0.3">
      <c r="A13" s="7" t="s">
        <v>12</v>
      </c>
      <c r="B13" s="8">
        <v>6</v>
      </c>
      <c r="C13" s="8">
        <v>5</v>
      </c>
      <c r="D13" s="8">
        <v>5</v>
      </c>
      <c r="E13" s="9" t="s">
        <v>13</v>
      </c>
    </row>
    <row r="14" spans="1:8" ht="15.75" thickBot="1" x14ac:dyDescent="0.3"/>
    <row r="15" spans="1:8" ht="18.75" x14ac:dyDescent="0.25">
      <c r="A15" s="37" t="s">
        <v>4</v>
      </c>
      <c r="B15" s="39" t="s">
        <v>5</v>
      </c>
      <c r="C15" s="39"/>
      <c r="D15" s="39"/>
      <c r="E15" s="40" t="s">
        <v>6</v>
      </c>
    </row>
    <row r="16" spans="1:8" ht="18.75" x14ac:dyDescent="0.25">
      <c r="A16" s="38"/>
      <c r="B16" s="3" t="s">
        <v>7</v>
      </c>
      <c r="C16" s="3" t="s">
        <v>7</v>
      </c>
      <c r="D16" s="3" t="s">
        <v>8</v>
      </c>
      <c r="E16" s="41"/>
    </row>
    <row r="17" spans="1:7" ht="18.75" x14ac:dyDescent="0.25">
      <c r="A17" s="5" t="s">
        <v>9</v>
      </c>
      <c r="B17" s="3" t="s">
        <v>14</v>
      </c>
      <c r="C17" s="3" t="s">
        <v>15</v>
      </c>
      <c r="D17" s="3" t="s">
        <v>16</v>
      </c>
      <c r="E17" s="6" t="s">
        <v>17</v>
      </c>
    </row>
    <row r="18" spans="1:7" ht="18.75" x14ac:dyDescent="0.25">
      <c r="A18" s="5" t="s">
        <v>10</v>
      </c>
      <c r="B18" s="3" t="s">
        <v>18</v>
      </c>
      <c r="C18" s="3" t="s">
        <v>19</v>
      </c>
      <c r="D18" s="3" t="s">
        <v>20</v>
      </c>
      <c r="E18" s="6" t="s">
        <v>21</v>
      </c>
    </row>
    <row r="19" spans="1:7" ht="18.75" x14ac:dyDescent="0.25">
      <c r="A19" s="5" t="s">
        <v>11</v>
      </c>
      <c r="B19" s="3" t="s">
        <v>22</v>
      </c>
      <c r="C19" s="3" t="s">
        <v>23</v>
      </c>
      <c r="D19" s="3" t="s">
        <v>24</v>
      </c>
      <c r="E19" s="6" t="s">
        <v>25</v>
      </c>
    </row>
    <row r="20" spans="1:7" ht="38.25" thickBot="1" x14ac:dyDescent="0.3">
      <c r="A20" s="7" t="s">
        <v>12</v>
      </c>
      <c r="B20" s="8" t="s">
        <v>26</v>
      </c>
      <c r="C20" s="8" t="s">
        <v>27</v>
      </c>
      <c r="D20" s="8" t="s">
        <v>28</v>
      </c>
      <c r="E20" s="9" t="s">
        <v>13</v>
      </c>
    </row>
    <row r="22" spans="1:7" ht="18.75" x14ac:dyDescent="0.25">
      <c r="A22" s="15" t="s">
        <v>29</v>
      </c>
    </row>
    <row r="23" spans="1:7" ht="153" customHeight="1" x14ac:dyDescent="0.25">
      <c r="A23" s="36" t="s">
        <v>101</v>
      </c>
      <c r="B23" s="36"/>
      <c r="C23" s="36"/>
      <c r="D23" s="36"/>
      <c r="E23" s="36"/>
      <c r="F23" s="36"/>
      <c r="G23" s="36"/>
    </row>
  </sheetData>
  <mergeCells count="7">
    <mergeCell ref="A23:G23"/>
    <mergeCell ref="A8:A9"/>
    <mergeCell ref="B8:D8"/>
    <mergeCell ref="E8:E9"/>
    <mergeCell ref="A15:A16"/>
    <mergeCell ref="B15:D15"/>
    <mergeCell ref="E15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F4C80-6068-41B5-AF39-4C1B17589BEE}">
  <dimension ref="A2:F25"/>
  <sheetViews>
    <sheetView topLeftCell="A3" zoomScale="85" zoomScaleNormal="85" workbookViewId="0">
      <selection activeCell="F13" sqref="F13"/>
    </sheetView>
  </sheetViews>
  <sheetFormatPr defaultRowHeight="15" x14ac:dyDescent="0.25"/>
  <cols>
    <col min="1" max="1" width="22.42578125" customWidth="1"/>
    <col min="5" max="5" width="36.42578125" customWidth="1"/>
  </cols>
  <sheetData>
    <row r="2" spans="1:6" ht="15.75" thickBot="1" x14ac:dyDescent="0.3"/>
    <row r="3" spans="1:6" ht="18.75" customHeight="1" x14ac:dyDescent="0.25">
      <c r="B3" s="4" t="s">
        <v>0</v>
      </c>
      <c r="C3" s="11" t="s">
        <v>1</v>
      </c>
      <c r="D3" s="11" t="s">
        <v>2</v>
      </c>
      <c r="E3" s="12" t="s">
        <v>3</v>
      </c>
    </row>
    <row r="4" spans="1:6" ht="19.5" customHeight="1" thickBot="1" x14ac:dyDescent="0.3">
      <c r="B4" s="13">
        <v>26</v>
      </c>
      <c r="C4" s="8">
        <v>24</v>
      </c>
      <c r="D4" s="8">
        <v>6</v>
      </c>
      <c r="E4" s="14">
        <f>SUMPRODUCT(B14:D14,B4:D4)</f>
        <v>556</v>
      </c>
    </row>
    <row r="7" spans="1:6" ht="15.75" customHeight="1" thickBot="1" x14ac:dyDescent="0.3"/>
    <row r="8" spans="1:6" ht="18.75" customHeight="1" x14ac:dyDescent="0.25">
      <c r="A8" s="43" t="s">
        <v>30</v>
      </c>
      <c r="B8" s="39" t="s">
        <v>31</v>
      </c>
      <c r="C8" s="39"/>
      <c r="D8" s="39"/>
      <c r="E8" s="40" t="s">
        <v>32</v>
      </c>
    </row>
    <row r="9" spans="1:6" ht="40.5" customHeight="1" x14ac:dyDescent="0.25">
      <c r="A9" s="38"/>
      <c r="B9" s="3" t="s">
        <v>33</v>
      </c>
      <c r="C9" s="3" t="s">
        <v>33</v>
      </c>
      <c r="D9" s="3" t="s">
        <v>34</v>
      </c>
      <c r="E9" s="41"/>
    </row>
    <row r="10" spans="1:6" ht="18.75" customHeight="1" x14ac:dyDescent="0.25">
      <c r="A10" s="5" t="s">
        <v>35</v>
      </c>
      <c r="B10" s="3">
        <v>1</v>
      </c>
      <c r="C10" s="3">
        <v>4</v>
      </c>
      <c r="D10" s="3">
        <v>1</v>
      </c>
      <c r="E10" s="6">
        <v>128</v>
      </c>
      <c r="F10" s="1">
        <f>SUMPRODUCT(B10:D10,$B$4:$D$4)</f>
        <v>128</v>
      </c>
    </row>
    <row r="11" spans="1:6" ht="18.75" customHeight="1" x14ac:dyDescent="0.25">
      <c r="A11" s="5" t="s">
        <v>36</v>
      </c>
      <c r="B11" s="3">
        <v>1</v>
      </c>
      <c r="C11" s="3">
        <v>1</v>
      </c>
      <c r="D11" s="3">
        <v>0</v>
      </c>
      <c r="E11" s="6">
        <v>50</v>
      </c>
      <c r="F11" s="1">
        <f>SUMPRODUCT(B11:D11,$B$4:$D$4)</f>
        <v>50</v>
      </c>
    </row>
    <row r="12" spans="1:6" ht="18.75" customHeight="1" x14ac:dyDescent="0.25">
      <c r="A12" s="5" t="s">
        <v>37</v>
      </c>
      <c r="B12" s="3">
        <v>4</v>
      </c>
      <c r="C12" s="3">
        <v>1</v>
      </c>
      <c r="D12" s="3">
        <v>3</v>
      </c>
      <c r="E12" s="6">
        <v>140</v>
      </c>
      <c r="F12" s="1">
        <f>SUMPRODUCT(B12:D12,$B$4:$D$4)</f>
        <v>146</v>
      </c>
    </row>
    <row r="13" spans="1:6" ht="18.75" customHeight="1" x14ac:dyDescent="0.25">
      <c r="A13" s="5" t="s">
        <v>38</v>
      </c>
      <c r="B13" s="3">
        <v>0</v>
      </c>
      <c r="C13" s="3">
        <v>3</v>
      </c>
      <c r="D13" s="3">
        <v>2</v>
      </c>
      <c r="E13" s="6">
        <v>80</v>
      </c>
      <c r="F13" s="1">
        <f>SUMPRODUCT(B13:D13,$B$4:$D$4)</f>
        <v>84</v>
      </c>
    </row>
    <row r="14" spans="1:6" ht="38.25" customHeight="1" thickBot="1" x14ac:dyDescent="0.3">
      <c r="A14" s="7" t="s">
        <v>39</v>
      </c>
      <c r="B14" s="8">
        <v>8</v>
      </c>
      <c r="C14" s="8">
        <v>12</v>
      </c>
      <c r="D14" s="8">
        <v>10</v>
      </c>
      <c r="E14" s="9" t="s">
        <v>40</v>
      </c>
    </row>
    <row r="15" spans="1:6" ht="19.5" customHeight="1" thickBot="1" x14ac:dyDescent="0.3">
      <c r="A15" s="10"/>
      <c r="B15" s="10"/>
      <c r="C15" s="10"/>
      <c r="D15" s="10"/>
      <c r="E15" s="10"/>
    </row>
    <row r="16" spans="1:6" ht="18" customHeight="1" x14ac:dyDescent="0.25">
      <c r="A16" s="43" t="s">
        <v>30</v>
      </c>
      <c r="B16" s="39" t="s">
        <v>31</v>
      </c>
      <c r="C16" s="39"/>
      <c r="D16" s="39"/>
      <c r="E16" s="40" t="s">
        <v>32</v>
      </c>
    </row>
    <row r="17" spans="1:5" ht="39" customHeight="1" x14ac:dyDescent="0.25">
      <c r="A17" s="38"/>
      <c r="B17" s="3" t="s">
        <v>33</v>
      </c>
      <c r="C17" s="3" t="s">
        <v>33</v>
      </c>
      <c r="D17" s="3" t="s">
        <v>34</v>
      </c>
      <c r="E17" s="41"/>
    </row>
    <row r="18" spans="1:5" ht="18.75" customHeight="1" x14ac:dyDescent="0.25">
      <c r="A18" s="5" t="s">
        <v>35</v>
      </c>
      <c r="B18" s="3" t="s">
        <v>41</v>
      </c>
      <c r="C18" s="3" t="s">
        <v>42</v>
      </c>
      <c r="D18" s="3" t="s">
        <v>43</v>
      </c>
      <c r="E18" s="6" t="s">
        <v>44</v>
      </c>
    </row>
    <row r="19" spans="1:5" ht="18.75" customHeight="1" x14ac:dyDescent="0.25">
      <c r="A19" s="5" t="s">
        <v>36</v>
      </c>
      <c r="B19" s="3" t="s">
        <v>45</v>
      </c>
      <c r="C19" s="3" t="s">
        <v>46</v>
      </c>
      <c r="D19" s="3" t="s">
        <v>47</v>
      </c>
      <c r="E19" s="6" t="s">
        <v>48</v>
      </c>
    </row>
    <row r="20" spans="1:5" ht="18.75" customHeight="1" x14ac:dyDescent="0.25">
      <c r="A20" s="5" t="s">
        <v>37</v>
      </c>
      <c r="B20" s="3" t="s">
        <v>49</v>
      </c>
      <c r="C20" s="3" t="s">
        <v>50</v>
      </c>
      <c r="D20" s="3" t="s">
        <v>51</v>
      </c>
      <c r="E20" s="6" t="s">
        <v>52</v>
      </c>
    </row>
    <row r="21" spans="1:5" ht="18.75" customHeight="1" x14ac:dyDescent="0.25">
      <c r="A21" s="5" t="s">
        <v>38</v>
      </c>
      <c r="B21" s="3" t="s">
        <v>53</v>
      </c>
      <c r="C21" s="3" t="s">
        <v>54</v>
      </c>
      <c r="D21" s="3" t="s">
        <v>55</v>
      </c>
      <c r="E21" s="6" t="s">
        <v>56</v>
      </c>
    </row>
    <row r="22" spans="1:5" ht="38.25" customHeight="1" thickBot="1" x14ac:dyDescent="0.3">
      <c r="A22" s="7" t="s">
        <v>39</v>
      </c>
      <c r="B22" s="8" t="s">
        <v>57</v>
      </c>
      <c r="C22" s="8" t="s">
        <v>58</v>
      </c>
      <c r="D22" s="8" t="s">
        <v>59</v>
      </c>
      <c r="E22" s="9" t="s">
        <v>13</v>
      </c>
    </row>
    <row r="24" spans="1:5" ht="18.75" customHeight="1" x14ac:dyDescent="0.25">
      <c r="A24" s="15" t="s">
        <v>29</v>
      </c>
    </row>
    <row r="25" spans="1:5" ht="170.25" customHeight="1" x14ac:dyDescent="0.25">
      <c r="A25" s="42" t="s">
        <v>102</v>
      </c>
      <c r="B25" s="42"/>
      <c r="C25" s="42"/>
      <c r="D25" s="42"/>
      <c r="E25" s="42"/>
    </row>
  </sheetData>
  <mergeCells count="7">
    <mergeCell ref="A25:E25"/>
    <mergeCell ref="A8:A9"/>
    <mergeCell ref="B8:D8"/>
    <mergeCell ref="E8:E9"/>
    <mergeCell ref="A16:A17"/>
    <mergeCell ref="B16:D16"/>
    <mergeCell ref="E16:E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8868-63C9-486B-AFD3-451F72B7E3A4}">
  <dimension ref="B2:F12"/>
  <sheetViews>
    <sheetView workbookViewId="0">
      <selection activeCell="D4" sqref="D4"/>
    </sheetView>
  </sheetViews>
  <sheetFormatPr defaultRowHeight="15" x14ac:dyDescent="0.25"/>
  <cols>
    <col min="1" max="1" width="6.7109375" customWidth="1"/>
    <col min="2" max="2" width="15.42578125" customWidth="1"/>
    <col min="3" max="3" width="16.7109375" customWidth="1"/>
    <col min="4" max="4" width="15.7109375" customWidth="1"/>
  </cols>
  <sheetData>
    <row r="2" spans="2:6" ht="15.75" thickBot="1" x14ac:dyDescent="0.3"/>
    <row r="3" spans="2:6" ht="18.75" x14ac:dyDescent="0.25">
      <c r="B3" s="4" t="s">
        <v>0</v>
      </c>
      <c r="C3" s="11" t="s">
        <v>1</v>
      </c>
      <c r="D3" s="11" t="s">
        <v>2</v>
      </c>
      <c r="E3" s="12" t="s">
        <v>60</v>
      </c>
    </row>
    <row r="4" spans="2:6" ht="19.5" thickBot="1" x14ac:dyDescent="0.3">
      <c r="B4" s="13">
        <v>0.86631016042781417</v>
      </c>
      <c r="C4" s="8">
        <v>0.64171122994653307</v>
      </c>
      <c r="D4" s="8">
        <v>0.95187165775400506</v>
      </c>
      <c r="E4" s="14">
        <f>SUMPRODUCT(B10:D10,B4:D4)</f>
        <v>4.0000000000000098</v>
      </c>
    </row>
    <row r="8" spans="2:6" ht="15.75" thickBot="1" x14ac:dyDescent="0.3"/>
    <row r="9" spans="2:6" ht="18.75" x14ac:dyDescent="0.25">
      <c r="B9" s="4" t="s">
        <v>61</v>
      </c>
      <c r="C9" s="11" t="s">
        <v>62</v>
      </c>
      <c r="D9" s="11" t="s">
        <v>63</v>
      </c>
      <c r="E9" s="12" t="s">
        <v>64</v>
      </c>
    </row>
    <row r="10" spans="2:6" ht="18.75" x14ac:dyDescent="0.25">
      <c r="B10" s="5">
        <v>5</v>
      </c>
      <c r="C10" s="3">
        <v>-2</v>
      </c>
      <c r="D10" s="3">
        <v>1</v>
      </c>
      <c r="E10" s="6">
        <v>4</v>
      </c>
    </row>
    <row r="11" spans="2:6" ht="18.75" x14ac:dyDescent="0.25">
      <c r="B11" s="5">
        <v>3</v>
      </c>
      <c r="C11" s="3">
        <v>1</v>
      </c>
      <c r="D11" s="3">
        <v>5</v>
      </c>
      <c r="E11" s="6">
        <v>8</v>
      </c>
      <c r="F11" s="1">
        <f>SUMPRODUCT(B11:D11,$B$4:$D$4)</f>
        <v>8</v>
      </c>
    </row>
    <row r="12" spans="2:6" ht="19.5" thickBot="1" x14ac:dyDescent="0.3">
      <c r="B12" s="13">
        <v>2</v>
      </c>
      <c r="C12" s="8">
        <v>-7</v>
      </c>
      <c r="D12" s="8">
        <v>5</v>
      </c>
      <c r="E12" s="9">
        <v>2</v>
      </c>
      <c r="F12" s="1">
        <f>SUMPRODUCT(B12:D12,$B$4:$D$4)</f>
        <v>1.9999999999999218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36CB0-A518-49AC-8D1C-E458FA3EAD1E}">
  <dimension ref="A1:H10"/>
  <sheetViews>
    <sheetView workbookViewId="0">
      <selection activeCell="H15" sqref="H15"/>
    </sheetView>
  </sheetViews>
  <sheetFormatPr defaultRowHeight="15" x14ac:dyDescent="0.25"/>
  <cols>
    <col min="2" max="2" width="17.28515625" customWidth="1"/>
    <col min="3" max="3" width="16" customWidth="1"/>
    <col min="4" max="4" width="14.85546875" customWidth="1"/>
    <col min="5" max="5" width="13" customWidth="1"/>
    <col min="8" max="8" width="16.7109375" customWidth="1"/>
  </cols>
  <sheetData>
    <row r="1" spans="1:8" ht="19.5" thickBot="1" x14ac:dyDescent="0.3">
      <c r="A1" s="1"/>
      <c r="B1" s="1"/>
      <c r="C1" s="1"/>
      <c r="D1" s="1"/>
      <c r="E1" s="1"/>
      <c r="F1" s="1"/>
      <c r="G1" s="1"/>
      <c r="H1" s="1"/>
    </row>
    <row r="2" spans="1:8" ht="18.75" x14ac:dyDescent="0.25">
      <c r="A2" s="1"/>
      <c r="B2" s="16" t="s">
        <v>65</v>
      </c>
      <c r="C2" s="17" t="s">
        <v>64</v>
      </c>
      <c r="D2" s="17" t="s">
        <v>66</v>
      </c>
      <c r="E2" s="21" t="s">
        <v>67</v>
      </c>
      <c r="F2" s="1"/>
      <c r="G2" s="4" t="s">
        <v>68</v>
      </c>
      <c r="H2" s="12" t="s">
        <v>103</v>
      </c>
    </row>
    <row r="3" spans="1:8" ht="19.5" thickBot="1" x14ac:dyDescent="0.3">
      <c r="A3" s="1"/>
      <c r="B3" s="5">
        <v>1</v>
      </c>
      <c r="C3" s="3">
        <v>-2</v>
      </c>
      <c r="D3" s="3">
        <v>-1</v>
      </c>
      <c r="E3" s="23">
        <v>-3</v>
      </c>
      <c r="F3" s="1"/>
      <c r="G3" s="13" t="s">
        <v>69</v>
      </c>
      <c r="H3" s="9" t="s">
        <v>104</v>
      </c>
    </row>
    <row r="4" spans="1:8" ht="18.75" x14ac:dyDescent="0.25">
      <c r="A4" s="1"/>
      <c r="B4" s="19" t="s">
        <v>70</v>
      </c>
      <c r="C4" s="20" t="s">
        <v>60</v>
      </c>
      <c r="D4" s="22" t="s">
        <v>71</v>
      </c>
      <c r="E4" s="1"/>
      <c r="F4" s="1"/>
      <c r="G4" s="1"/>
      <c r="H4" s="1"/>
    </row>
    <row r="5" spans="1:8" ht="19.5" thickBot="1" x14ac:dyDescent="0.3">
      <c r="A5" s="1"/>
      <c r="B5" s="13">
        <v>1</v>
      </c>
      <c r="C5" s="8">
        <v>-1</v>
      </c>
      <c r="D5" s="9">
        <v>-1</v>
      </c>
      <c r="E5" s="1"/>
      <c r="F5" s="1"/>
      <c r="G5" s="1"/>
      <c r="H5" s="1"/>
    </row>
    <row r="6" spans="1:8" ht="19.5" thickBot="1" x14ac:dyDescent="0.3">
      <c r="A6" s="1"/>
      <c r="B6" s="1"/>
      <c r="C6" s="1"/>
      <c r="D6" s="1"/>
      <c r="E6" s="1"/>
      <c r="F6" s="1"/>
      <c r="G6" s="1"/>
      <c r="H6" s="1"/>
    </row>
    <row r="7" spans="1:8" ht="18.75" x14ac:dyDescent="0.25">
      <c r="A7" s="4"/>
      <c r="B7" s="17" t="s">
        <v>72</v>
      </c>
      <c r="C7" s="17" t="s">
        <v>73</v>
      </c>
      <c r="D7" s="17" t="s">
        <v>68</v>
      </c>
      <c r="E7" s="18" t="s">
        <v>69</v>
      </c>
      <c r="F7" s="1"/>
      <c r="G7" s="1"/>
      <c r="H7" s="1"/>
    </row>
    <row r="8" spans="1:8" ht="18.75" x14ac:dyDescent="0.25">
      <c r="A8" s="5" t="s">
        <v>74</v>
      </c>
      <c r="B8" s="3">
        <v>3.561552813</v>
      </c>
      <c r="C8" s="3">
        <v>2.561552813</v>
      </c>
      <c r="D8" s="3">
        <f>$B$3*B8^2+$C$3*B8+$D$3*C8+$E$3</f>
        <v>7.8821349447366629E-10</v>
      </c>
      <c r="E8" s="6">
        <f>SUMPRODUCT(B8:C8,$B$5:$C$5)+$D$5</f>
        <v>0</v>
      </c>
      <c r="F8" s="1"/>
      <c r="G8" s="1"/>
      <c r="H8" s="1"/>
    </row>
    <row r="9" spans="1:8" ht="19.5" thickBot="1" x14ac:dyDescent="0.3">
      <c r="A9" s="13" t="s">
        <v>75</v>
      </c>
      <c r="B9" s="34">
        <v>-0.56155281300000004</v>
      </c>
      <c r="C9" s="34">
        <v>-1.561552813</v>
      </c>
      <c r="D9" s="8">
        <f>$B$3*B9^2+$C$3*B9+$D$3*C9+$E$3</f>
        <v>7.8821305038445644E-10</v>
      </c>
      <c r="E9" s="9">
        <f>B$5*B9+C$5*C9+D$5</f>
        <v>0</v>
      </c>
      <c r="F9" s="1"/>
      <c r="G9" s="1"/>
      <c r="H9" s="1"/>
    </row>
    <row r="10" spans="1:8" ht="18.75" x14ac:dyDescent="0.25">
      <c r="A10" s="1"/>
      <c r="B10" s="1"/>
      <c r="C10" s="1"/>
      <c r="D10" s="1"/>
      <c r="E10" s="1"/>
      <c r="F10" s="1"/>
      <c r="G10" s="1"/>
      <c r="H1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4868-884C-4163-A3BF-E8E7AD6FD1C0}">
  <dimension ref="A1:H17"/>
  <sheetViews>
    <sheetView workbookViewId="0">
      <selection activeCell="F16" sqref="F16"/>
    </sheetView>
  </sheetViews>
  <sheetFormatPr defaultRowHeight="15" x14ac:dyDescent="0.25"/>
  <cols>
    <col min="1" max="1" width="17.140625" customWidth="1"/>
  </cols>
  <sheetData>
    <row r="1" spans="1:8" ht="18.75" x14ac:dyDescent="0.25">
      <c r="A1" s="1"/>
      <c r="B1" s="1"/>
      <c r="C1" s="1"/>
      <c r="D1" s="1"/>
      <c r="E1" s="1"/>
      <c r="F1" s="1"/>
      <c r="G1" s="1"/>
      <c r="H1" s="1"/>
    </row>
    <row r="2" spans="1:8" ht="19.5" thickBot="1" x14ac:dyDescent="0.3">
      <c r="A2" s="1"/>
      <c r="B2" s="1"/>
      <c r="C2" s="1"/>
      <c r="D2" s="1"/>
      <c r="E2" s="1"/>
      <c r="F2" s="1"/>
      <c r="G2" s="1"/>
      <c r="H2" s="1"/>
    </row>
    <row r="3" spans="1:8" ht="18.75" x14ac:dyDescent="0.25">
      <c r="A3" s="4"/>
      <c r="B3" s="17" t="s">
        <v>76</v>
      </c>
      <c r="C3" s="17" t="s">
        <v>77</v>
      </c>
      <c r="D3" s="17" t="s">
        <v>78</v>
      </c>
      <c r="E3" s="17" t="s">
        <v>79</v>
      </c>
      <c r="F3" s="17" t="s">
        <v>80</v>
      </c>
      <c r="G3" s="25" t="s">
        <v>81</v>
      </c>
      <c r="H3" s="24" t="s">
        <v>82</v>
      </c>
    </row>
    <row r="4" spans="1:8" ht="18.75" x14ac:dyDescent="0.25">
      <c r="A4" s="19" t="s">
        <v>83</v>
      </c>
      <c r="B4" s="3">
        <v>15</v>
      </c>
      <c r="C4" s="3">
        <v>11</v>
      </c>
      <c r="D4" s="3">
        <v>22</v>
      </c>
      <c r="E4" s="3">
        <v>19</v>
      </c>
      <c r="F4" s="3">
        <v>1</v>
      </c>
      <c r="G4" s="3"/>
      <c r="H4" s="6">
        <v>20</v>
      </c>
    </row>
    <row r="5" spans="1:8" ht="18.75" x14ac:dyDescent="0.25">
      <c r="A5" s="19" t="s">
        <v>84</v>
      </c>
      <c r="B5" s="3">
        <v>21</v>
      </c>
      <c r="C5" s="3">
        <v>18</v>
      </c>
      <c r="D5" s="3">
        <v>11</v>
      </c>
      <c r="E5" s="3">
        <v>4</v>
      </c>
      <c r="F5" s="3">
        <v>3</v>
      </c>
      <c r="G5" s="3"/>
      <c r="H5" s="6">
        <v>20</v>
      </c>
    </row>
    <row r="6" spans="1:8" ht="18.75" x14ac:dyDescent="0.25">
      <c r="A6" s="19" t="s">
        <v>85</v>
      </c>
      <c r="B6" s="3">
        <v>26</v>
      </c>
      <c r="C6" s="3">
        <v>29</v>
      </c>
      <c r="D6" s="3">
        <v>23</v>
      </c>
      <c r="E6" s="3">
        <v>26</v>
      </c>
      <c r="F6" s="3">
        <v>24</v>
      </c>
      <c r="G6" s="3"/>
      <c r="H6" s="6">
        <v>20</v>
      </c>
    </row>
    <row r="7" spans="1:8" ht="18.75" x14ac:dyDescent="0.25">
      <c r="A7" s="19" t="s">
        <v>86</v>
      </c>
      <c r="B7" s="3">
        <v>21</v>
      </c>
      <c r="C7" s="3">
        <v>10</v>
      </c>
      <c r="D7" s="3">
        <v>3</v>
      </c>
      <c r="E7" s="3">
        <v>19</v>
      </c>
      <c r="F7" s="3">
        <v>27</v>
      </c>
      <c r="G7" s="3"/>
      <c r="H7" s="6">
        <v>20</v>
      </c>
    </row>
    <row r="8" spans="1:8" ht="19.5" thickBot="1" x14ac:dyDescent="0.3">
      <c r="A8" s="13" t="s">
        <v>87</v>
      </c>
      <c r="B8" s="8">
        <v>19</v>
      </c>
      <c r="C8" s="8">
        <v>19</v>
      </c>
      <c r="D8" s="8">
        <v>19</v>
      </c>
      <c r="E8" s="8">
        <v>19</v>
      </c>
      <c r="F8" s="8">
        <v>4</v>
      </c>
      <c r="G8" s="8"/>
      <c r="H8" s="9"/>
    </row>
    <row r="9" spans="1:8" ht="18.75" x14ac:dyDescent="0.25">
      <c r="A9" s="1"/>
      <c r="B9" s="1"/>
      <c r="C9" s="1"/>
      <c r="D9" s="1"/>
      <c r="E9" s="1"/>
      <c r="F9" s="1"/>
      <c r="G9" s="1"/>
      <c r="H9" s="1"/>
    </row>
    <row r="10" spans="1:8" ht="19.5" thickBot="1" x14ac:dyDescent="0.3">
      <c r="A10" s="1"/>
      <c r="B10" s="1"/>
      <c r="C10" s="1"/>
      <c r="D10" s="1"/>
      <c r="E10" s="1"/>
      <c r="F10" s="1"/>
      <c r="G10" s="1"/>
      <c r="H10" s="1"/>
    </row>
    <row r="11" spans="1:8" ht="18.75" x14ac:dyDescent="0.25">
      <c r="A11" s="4"/>
      <c r="B11" s="17" t="s">
        <v>76</v>
      </c>
      <c r="C11" s="17" t="s">
        <v>77</v>
      </c>
      <c r="D11" s="17" t="s">
        <v>78</v>
      </c>
      <c r="E11" s="17" t="s">
        <v>79</v>
      </c>
      <c r="F11" s="17" t="s">
        <v>80</v>
      </c>
      <c r="G11" s="24" t="s">
        <v>81</v>
      </c>
      <c r="H11" s="1"/>
    </row>
    <row r="12" spans="1:8" ht="18.75" x14ac:dyDescent="0.25">
      <c r="A12" s="19" t="s">
        <v>83</v>
      </c>
      <c r="B12" s="3">
        <v>0</v>
      </c>
      <c r="C12" s="3">
        <v>16.999999999999993</v>
      </c>
      <c r="D12" s="3">
        <v>0</v>
      </c>
      <c r="E12" s="3">
        <v>0</v>
      </c>
      <c r="F12" s="3">
        <v>2.9999999999999996</v>
      </c>
      <c r="G12" s="6">
        <f>SUM(B12:F12)</f>
        <v>19.999999999999993</v>
      </c>
      <c r="H12" s="1"/>
    </row>
    <row r="13" spans="1:8" ht="18.75" x14ac:dyDescent="0.25">
      <c r="A13" s="19" t="s">
        <v>84</v>
      </c>
      <c r="B13" s="3">
        <v>0</v>
      </c>
      <c r="C13" s="3">
        <v>0</v>
      </c>
      <c r="D13" s="3">
        <v>0</v>
      </c>
      <c r="E13" s="3">
        <v>19.000000000000004</v>
      </c>
      <c r="F13" s="3">
        <v>0.99999999999999922</v>
      </c>
      <c r="G13" s="6">
        <f>SUM(B13:F13)</f>
        <v>20.000000000000004</v>
      </c>
      <c r="H13" s="1"/>
    </row>
    <row r="14" spans="1:8" ht="18.75" x14ac:dyDescent="0.25">
      <c r="A14" s="19" t="s">
        <v>85</v>
      </c>
      <c r="B14" s="3">
        <v>18.999999999999996</v>
      </c>
      <c r="C14" s="3">
        <v>1.0000000000000009</v>
      </c>
      <c r="D14" s="3">
        <v>0</v>
      </c>
      <c r="E14" s="3">
        <v>0</v>
      </c>
      <c r="F14" s="3">
        <v>0</v>
      </c>
      <c r="G14" s="6">
        <f>SUM(B14:F14)</f>
        <v>19.999999999999996</v>
      </c>
      <c r="H14" s="1"/>
    </row>
    <row r="15" spans="1:8" ht="18.75" x14ac:dyDescent="0.25">
      <c r="A15" s="19" t="s">
        <v>86</v>
      </c>
      <c r="B15" s="3">
        <v>0</v>
      </c>
      <c r="C15" s="3">
        <v>1.0000000000000058</v>
      </c>
      <c r="D15" s="3">
        <v>18.999999999999996</v>
      </c>
      <c r="E15" s="3">
        <v>0</v>
      </c>
      <c r="F15" s="3">
        <v>0</v>
      </c>
      <c r="G15" s="6">
        <f>SUM(B15:F15)</f>
        <v>20.000000000000004</v>
      </c>
      <c r="H15" s="1"/>
    </row>
    <row r="16" spans="1:8" ht="18.75" x14ac:dyDescent="0.25">
      <c r="A16" s="5" t="s">
        <v>88</v>
      </c>
      <c r="B16" s="3">
        <f>SUM(B12:B15)</f>
        <v>18.999999999999996</v>
      </c>
      <c r="C16" s="3">
        <f t="shared" ref="C16:F16" si="0">SUM(C12:C15)</f>
        <v>19</v>
      </c>
      <c r="D16" s="3">
        <f t="shared" si="0"/>
        <v>18.999999999999996</v>
      </c>
      <c r="E16" s="3">
        <f t="shared" si="0"/>
        <v>19.000000000000004</v>
      </c>
      <c r="F16" s="3">
        <f t="shared" si="0"/>
        <v>3.9999999999999987</v>
      </c>
      <c r="G16" s="6"/>
      <c r="H16" s="1"/>
    </row>
    <row r="17" spans="1:8" ht="19.5" thickBot="1" x14ac:dyDescent="0.3">
      <c r="A17" s="13" t="s">
        <v>89</v>
      </c>
      <c r="B17" s="8">
        <f>SUMPRODUCT(B4:F7, B12:F15)</f>
        <v>858.99999999999977</v>
      </c>
      <c r="C17" s="8"/>
      <c r="D17" s="8"/>
      <c r="E17" s="8"/>
      <c r="F17" s="8"/>
      <c r="G17" s="9"/>
      <c r="H1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DCBB-18B2-4586-82DD-C8BBA57B4485}">
  <dimension ref="A1:G13"/>
  <sheetViews>
    <sheetView tabSelected="1" workbookViewId="0">
      <selection activeCell="C6" sqref="C6"/>
    </sheetView>
  </sheetViews>
  <sheetFormatPr defaultRowHeight="15" x14ac:dyDescent="0.25"/>
  <cols>
    <col min="1" max="1" width="18.28515625" customWidth="1"/>
    <col min="2" max="2" width="14.42578125" customWidth="1"/>
    <col min="5" max="5" width="13.5703125" customWidth="1"/>
  </cols>
  <sheetData>
    <row r="1" spans="1:7" ht="18.75" x14ac:dyDescent="0.25">
      <c r="A1" s="4"/>
      <c r="B1" s="44" t="s">
        <v>90</v>
      </c>
      <c r="C1" s="44"/>
      <c r="D1" s="44"/>
      <c r="E1" s="44"/>
      <c r="F1" s="44"/>
      <c r="G1" s="45"/>
    </row>
    <row r="2" spans="1:7" ht="18.75" x14ac:dyDescent="0.25">
      <c r="A2" s="5"/>
      <c r="B2" s="46" t="s">
        <v>91</v>
      </c>
      <c r="C2" s="46"/>
      <c r="D2" s="46"/>
      <c r="E2" s="46" t="s">
        <v>92</v>
      </c>
      <c r="F2" s="46"/>
      <c r="G2" s="47"/>
    </row>
    <row r="3" spans="1:7" ht="18.75" x14ac:dyDescent="0.25">
      <c r="A3" s="29"/>
      <c r="B3" s="28" t="s">
        <v>0</v>
      </c>
      <c r="C3" s="3" t="s">
        <v>1</v>
      </c>
      <c r="D3" s="3" t="s">
        <v>93</v>
      </c>
      <c r="E3" s="3" t="s">
        <v>0</v>
      </c>
      <c r="F3" s="3" t="s">
        <v>1</v>
      </c>
      <c r="G3" s="6" t="s">
        <v>93</v>
      </c>
    </row>
    <row r="4" spans="1:7" ht="18.75" x14ac:dyDescent="0.25">
      <c r="A4" s="29" t="s">
        <v>94</v>
      </c>
      <c r="B4" s="3">
        <v>0</v>
      </c>
      <c r="C4" s="3">
        <v>2</v>
      </c>
      <c r="D4" s="3">
        <f>(B4-6)^2-(C4-2)^2</f>
        <v>36</v>
      </c>
      <c r="E4" s="35">
        <v>4</v>
      </c>
      <c r="F4" s="35">
        <v>2</v>
      </c>
      <c r="G4" s="6">
        <f>(E4-6)^2-(F4-2)^2</f>
        <v>4</v>
      </c>
    </row>
    <row r="5" spans="1:7" ht="19.5" thickBot="1" x14ac:dyDescent="0.3">
      <c r="A5" s="7" t="s">
        <v>95</v>
      </c>
      <c r="B5" s="8">
        <v>0</v>
      </c>
      <c r="C5" s="8">
        <v>2</v>
      </c>
      <c r="D5" s="8">
        <f>(B5-6)^2-(C5-2)^2</f>
        <v>36</v>
      </c>
      <c r="E5" s="34">
        <v>5</v>
      </c>
      <c r="F5" s="34">
        <v>0</v>
      </c>
      <c r="G5" s="9">
        <f>(E5-6)^2-(F5-2)^2</f>
        <v>-3</v>
      </c>
    </row>
    <row r="6" spans="1:7" ht="19.5" thickBot="1" x14ac:dyDescent="0.3">
      <c r="A6" s="1"/>
      <c r="B6" s="26"/>
      <c r="C6" s="1"/>
      <c r="D6" s="1"/>
      <c r="E6" s="1"/>
      <c r="F6" s="1"/>
      <c r="G6" s="1"/>
    </row>
    <row r="7" spans="1:7" ht="18.75" x14ac:dyDescent="0.25">
      <c r="A7" s="37" t="s">
        <v>96</v>
      </c>
      <c r="B7" s="44"/>
      <c r="C7" s="44"/>
      <c r="D7" s="44"/>
      <c r="E7" s="44"/>
      <c r="F7" s="44"/>
      <c r="G7" s="45"/>
    </row>
    <row r="8" spans="1:7" ht="18.75" x14ac:dyDescent="0.25">
      <c r="A8" s="30"/>
      <c r="B8" s="46" t="s">
        <v>91</v>
      </c>
      <c r="C8" s="46"/>
      <c r="D8" s="46"/>
      <c r="E8" s="46" t="s">
        <v>92</v>
      </c>
      <c r="F8" s="46"/>
      <c r="G8" s="47"/>
    </row>
    <row r="9" spans="1:7" ht="18.75" x14ac:dyDescent="0.25">
      <c r="A9" s="31" t="s">
        <v>105</v>
      </c>
      <c r="B9" s="3">
        <f>B5+2*C5</f>
        <v>4</v>
      </c>
      <c r="C9" s="3" t="s">
        <v>97</v>
      </c>
      <c r="D9" s="3">
        <v>8</v>
      </c>
      <c r="E9" s="3">
        <f>E5+2*F5</f>
        <v>5</v>
      </c>
      <c r="F9" s="3" t="s">
        <v>97</v>
      </c>
      <c r="G9" s="6">
        <v>8</v>
      </c>
    </row>
    <row r="10" spans="1:7" ht="18.75" x14ac:dyDescent="0.25">
      <c r="A10" s="31" t="s">
        <v>106</v>
      </c>
      <c r="B10" s="3">
        <f>3*B5+C5</f>
        <v>2</v>
      </c>
      <c r="C10" s="3" t="s">
        <v>97</v>
      </c>
      <c r="D10" s="3">
        <v>15</v>
      </c>
      <c r="E10" s="3">
        <f>3*E5+F5</f>
        <v>15</v>
      </c>
      <c r="F10" s="3" t="s">
        <v>97</v>
      </c>
      <c r="G10" s="6">
        <v>15</v>
      </c>
    </row>
    <row r="11" spans="1:7" ht="18.75" x14ac:dyDescent="0.25">
      <c r="A11" s="31" t="s">
        <v>107</v>
      </c>
      <c r="B11" s="3">
        <f>B5+C5</f>
        <v>2</v>
      </c>
      <c r="C11" s="3" t="s">
        <v>99</v>
      </c>
      <c r="D11" s="3">
        <v>1</v>
      </c>
      <c r="E11" s="3">
        <f>E5+F5</f>
        <v>5</v>
      </c>
      <c r="F11" s="3" t="s">
        <v>99</v>
      </c>
      <c r="G11" s="6">
        <v>1</v>
      </c>
    </row>
    <row r="12" spans="1:7" ht="18.75" x14ac:dyDescent="0.25">
      <c r="A12" s="31" t="s">
        <v>98</v>
      </c>
      <c r="B12" s="27">
        <f xml:space="preserve"> B5</f>
        <v>0</v>
      </c>
      <c r="C12" s="3" t="s">
        <v>99</v>
      </c>
      <c r="D12" s="3">
        <v>0</v>
      </c>
      <c r="E12" s="3">
        <f xml:space="preserve"> E5</f>
        <v>5</v>
      </c>
      <c r="F12" s="3" t="s">
        <v>99</v>
      </c>
      <c r="G12" s="6">
        <v>0</v>
      </c>
    </row>
    <row r="13" spans="1:7" ht="19.5" thickBot="1" x14ac:dyDescent="0.3">
      <c r="A13" s="32" t="s">
        <v>100</v>
      </c>
      <c r="B13" s="33">
        <f xml:space="preserve"> C5</f>
        <v>2</v>
      </c>
      <c r="C13" s="8" t="s">
        <v>99</v>
      </c>
      <c r="D13" s="8">
        <v>0</v>
      </c>
      <c r="E13" s="8">
        <f xml:space="preserve"> F5</f>
        <v>0</v>
      </c>
      <c r="F13" s="8" t="s">
        <v>99</v>
      </c>
      <c r="G13" s="9">
        <v>0</v>
      </c>
    </row>
  </sheetData>
  <mergeCells count="6">
    <mergeCell ref="B1:G1"/>
    <mergeCell ref="B2:D2"/>
    <mergeCell ref="E2:G2"/>
    <mergeCell ref="A7:G7"/>
    <mergeCell ref="B8:D8"/>
    <mergeCell ref="E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 1</vt:lpstr>
      <vt:lpstr>Задание 2</vt:lpstr>
      <vt:lpstr>Задание 3</vt:lpstr>
      <vt:lpstr>Задание 4</vt:lpstr>
      <vt:lpstr>Задание 5</vt:lpstr>
      <vt:lpstr>Задание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Melon</dc:creator>
  <cp:lastModifiedBy>Elkodu .</cp:lastModifiedBy>
  <dcterms:created xsi:type="dcterms:W3CDTF">2015-06-05T18:19:34Z</dcterms:created>
  <dcterms:modified xsi:type="dcterms:W3CDTF">2026-03-25T17:25:37Z</dcterms:modified>
</cp:coreProperties>
</file>